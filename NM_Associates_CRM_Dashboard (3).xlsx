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shboard" sheetId="2" state="visible" r:id="rId4"/>
    <sheet name="Team Referra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<sst xmlns="http://schemas.openxmlformats.org/spreadsheetml/2006/main" count="280" uniqueCount="128">
  <si>
    <t xml:space="preserve">ID</t>
  </si>
  <si>
    <t xml:space="preserve">Name</t>
  </si>
  <si>
    <t xml:space="preserve">Phone Number</t>
  </si>
  <si>
    <t xml:space="preserve">Country</t>
  </si>
  <si>
    <t xml:space="preserve">Month</t>
  </si>
  <si>
    <t xml:space="preserve">Lead Source</t>
  </si>
  <si>
    <t xml:space="preserve">Status</t>
  </si>
  <si>
    <t xml:space="preserve">Priority</t>
  </si>
  <si>
    <t xml:space="preserve">Notes</t>
  </si>
  <si>
    <t xml:space="preserve">Anwar Randhawa</t>
  </si>
  <si>
    <t xml:space="preserve">+923331319016</t>
  </si>
  <si>
    <t xml:space="preserve">Pakistan</t>
  </si>
  <si>
    <t xml:space="preserve">August 2026</t>
  </si>
  <si>
    <t xml:space="preserve">Facebook Ads</t>
  </si>
  <si>
    <t xml:space="preserve">New</t>
  </si>
  <si>
    <t xml:space="preserve">Rebecca</t>
  </si>
  <si>
    <t xml:space="preserve">+923333087066</t>
  </si>
  <si>
    <t xml:space="preserve">Hamza</t>
  </si>
  <si>
    <t xml:space="preserve">+923085174539</t>
  </si>
  <si>
    <t xml:space="preserve">Unknown</t>
  </si>
  <si>
    <t xml:space="preserve">+923218494009</t>
  </si>
  <si>
    <t xml:space="preserve">Abu Saad</t>
  </si>
  <si>
    <t xml:space="preserve">+966536555006</t>
  </si>
  <si>
    <t xml:space="preserve">Saudi Arabia</t>
  </si>
  <si>
    <t xml:space="preserve">Muhammad Jamshaid Khan</t>
  </si>
  <si>
    <t xml:space="preserve">+923004386596</t>
  </si>
  <si>
    <t xml:space="preserve">+923264795877</t>
  </si>
  <si>
    <t xml:space="preserve">Qaiser Hussain</t>
  </si>
  <si>
    <t xml:space="preserve">+923079869866</t>
  </si>
  <si>
    <t xml:space="preserve">Wasif Gulzar</t>
  </si>
  <si>
    <t xml:space="preserve">+923004828096</t>
  </si>
  <si>
    <t xml:space="preserve">Ali</t>
  </si>
  <si>
    <t xml:space="preserve">+971554310777</t>
  </si>
  <si>
    <t xml:space="preserve">UAE</t>
  </si>
  <si>
    <t xml:space="preserve">Fahad Abbas</t>
  </si>
  <si>
    <t xml:space="preserve">+923316928188</t>
  </si>
  <si>
    <t xml:space="preserve">Iftikhar Nawaz Khan</t>
  </si>
  <si>
    <t xml:space="preserve">+923456365857</t>
  </si>
  <si>
    <t xml:space="preserve">+971564812140</t>
  </si>
  <si>
    <t xml:space="preserve">Amir Abbasi</t>
  </si>
  <si>
    <t xml:space="preserve">+923213211185</t>
  </si>
  <si>
    <t xml:space="preserve">Salma Abbas</t>
  </si>
  <si>
    <t xml:space="preserve">+923238477373</t>
  </si>
  <si>
    <t xml:space="preserve">Salman</t>
  </si>
  <si>
    <t xml:space="preserve">+923134507890</t>
  </si>
  <si>
    <t xml:space="preserve">Amir Saeed</t>
  </si>
  <si>
    <t xml:space="preserve">+923266636570</t>
  </si>
  <si>
    <t xml:space="preserve">AMK</t>
  </si>
  <si>
    <t xml:space="preserve">+923008630065</t>
  </si>
  <si>
    <t xml:space="preserve">Muhammad Alyis</t>
  </si>
  <si>
    <t xml:space="preserve">+923006902810</t>
  </si>
  <si>
    <t xml:space="preserve">Hassan Malik</t>
  </si>
  <si>
    <t xml:space="preserve">+923218813199</t>
  </si>
  <si>
    <t xml:space="preserve">Rao Jang Sher</t>
  </si>
  <si>
    <t xml:space="preserve">+966537354980</t>
  </si>
  <si>
    <t xml:space="preserve">Mian Hammad</t>
  </si>
  <si>
    <t xml:space="preserve">+966565231513</t>
  </si>
  <si>
    <t xml:space="preserve">Abu Ahmad</t>
  </si>
  <si>
    <t xml:space="preserve">+966502382992</t>
  </si>
  <si>
    <t xml:space="preserve">Khurram</t>
  </si>
  <si>
    <t xml:space="preserve">+923334705580</t>
  </si>
  <si>
    <t xml:space="preserve">Shahram Ijaz</t>
  </si>
  <si>
    <t xml:space="preserve">+923337176777</t>
  </si>
  <si>
    <t xml:space="preserve">Company</t>
  </si>
  <si>
    <t xml:space="preserve">+447847275181</t>
  </si>
  <si>
    <t xml:space="preserve">UK</t>
  </si>
  <si>
    <t xml:space="preserve">Mussarat Shaheen</t>
  </si>
  <si>
    <t xml:space="preserve">+923344112326</t>
  </si>
  <si>
    <t xml:space="preserve">+923448989809</t>
  </si>
  <si>
    <t xml:space="preserve">Abu Ayub</t>
  </si>
  <si>
    <t xml:space="preserve">+966536474579</t>
  </si>
  <si>
    <t xml:space="preserve">amcgroup304</t>
  </si>
  <si>
    <t xml:space="preserve">+971567664304</t>
  </si>
  <si>
    <t xml:space="preserve">Muhammad Shafique</t>
  </si>
  <si>
    <t xml:space="preserve">+923328174597</t>
  </si>
  <si>
    <t xml:space="preserve">Hamyoun Khan</t>
  </si>
  <si>
    <t xml:space="preserve">+966549050705</t>
  </si>
  <si>
    <t xml:space="preserve">+923000855534</t>
  </si>
  <si>
    <t xml:space="preserve">Nadeem Bhatti</t>
  </si>
  <si>
    <t xml:space="preserve">+966595127253</t>
  </si>
  <si>
    <t xml:space="preserve">Legend</t>
  </si>
  <si>
    <t xml:space="preserve">Yellow</t>
  </si>
  <si>
    <t xml:space="preserve">editable fields — use the dropdown for Status / Lead Source / Priority</t>
  </si>
  <si>
    <t xml:space="preserve">Only 34 leads had data in the file you uploaded (all logged under August 2026). September and October tabs were empty.</t>
  </si>
  <si>
    <t xml:space="preserve">  NM ASSOCIATES  |  LEAD GENERATION CRM DASHBOARD</t>
  </si>
  <si>
    <t xml:space="preserve">Data source: Meta (Facebook/Instagram) ads lead generation • Auto-refreshes from the Data sheet</t>
  </si>
  <si>
    <t xml:space="preserve">Filter by Country:</t>
  </si>
  <si>
    <t xml:space="preserve">All</t>
  </si>
  <si>
    <t xml:space="preserve">LEADS SELECTED</t>
  </si>
  <si>
    <t xml:space="preserve">CONVERTED</t>
  </si>
  <si>
    <t xml:space="preserve">IN PROGRESS</t>
  </si>
  <si>
    <t xml:space="preserve">CONVERSION RATE</t>
  </si>
  <si>
    <t xml:space="preserve">TOP COUNTRY</t>
  </si>
  <si>
    <t xml:space="preserve">Pipeline Status (filtered)</t>
  </si>
  <si>
    <t xml:space="preserve">Leads by Country</t>
  </si>
  <si>
    <t xml:space="preserve">Leads by Source</t>
  </si>
  <si>
    <t xml:space="preserve">Contacted</t>
  </si>
  <si>
    <t xml:space="preserve">Instagram Ads</t>
  </si>
  <si>
    <t xml:space="preserve">Follow-up</t>
  </si>
  <si>
    <t xml:space="preserve">WhatsApp</t>
  </si>
  <si>
    <t xml:space="preserve">Interested</t>
  </si>
  <si>
    <t xml:space="preserve">Referral</t>
  </si>
  <si>
    <t xml:space="preserve">Converted</t>
  </si>
  <si>
    <t xml:space="preserve">Other</t>
  </si>
  <si>
    <t xml:space="preserve">Not Interested</t>
  </si>
  <si>
    <t xml:space="preserve">Lost</t>
  </si>
  <si>
    <t xml:space="preserve">Country × Status Heatmap</t>
  </si>
  <si>
    <t xml:space="preserve">  TEAM REFERRAL TRACKER — NM ASSOCIATES</t>
  </si>
  <si>
    <t xml:space="preserve">Every client referred to a team member, logged in one place — so the client can get a status update anytime.</t>
  </si>
  <si>
    <t xml:space="preserve">Referrals by Team Member</t>
  </si>
  <si>
    <t xml:space="preserve">Faheem</t>
  </si>
  <si>
    <t xml:space="preserve">Usman</t>
  </si>
  <si>
    <t xml:space="preserve">Ahmad Abbas</t>
  </si>
  <si>
    <t xml:space="preserve">Abdul Mannan Bhatti</t>
  </si>
  <si>
    <t xml:space="preserve">Me / [Your Name]</t>
  </si>
  <si>
    <t xml:space="preserve">Ref #</t>
  </si>
  <si>
    <t xml:space="preserve">Date Referred</t>
  </si>
  <si>
    <t xml:space="preserve">Referred To (Team Member)</t>
  </si>
  <si>
    <t xml:space="preserve">Client Name</t>
  </si>
  <si>
    <t xml:space="preserve">Client Phone Number</t>
  </si>
  <si>
    <t xml:space="preserve">Client Requirement / Details</t>
  </si>
  <si>
    <t xml:space="preserve">Last Update Date</t>
  </si>
  <si>
    <t xml:space="preserve">Update / Notes from Member</t>
  </si>
  <si>
    <t xml:space="preserve">How to use</t>
  </si>
  <si>
    <t xml:space="preserve">1. Whenever you refer a client to a team member, add one row: date, who you referred it to, client name, number, and what they need.</t>
  </si>
  <si>
    <t xml:space="preserve">2. The team member updates Status and adds a short note whenever they follow up — the client (or you) can check this sheet anytime for the latest update.</t>
  </si>
  <si>
    <t xml:space="preserve">3. Replace "Me / [Your Name]" in the dropdown list with your actual name (Data Validation on column D) so it shows correctly.</t>
  </si>
  <si>
    <t xml:space="preserve">4. The chart and summary at the top update automatically as you fill in rows.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</si>
</sst>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egoe UI"/>
      <family val="0"/>
      <charset val="1"/>
    </font>
    <font>
      <b val="true"/>
      <sz val="10"/>
      <name val="Segoe UI"/>
      <family val="0"/>
      <charset val="1"/>
    </font>
    <font>
      <i val="true"/>
      <sz val="9"/>
      <color rgb="FF666666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i val="true"/>
      <sz val="9"/>
      <color rgb="FF6B7280"/>
      <name val="Segoe UI"/>
      <family val="0"/>
      <charset val="1"/>
    </font>
    <font>
      <b val="true"/>
      <sz val="10"/>
      <color rgb="FF0F2A4A"/>
      <name val="Segoe UI"/>
      <family val="0"/>
      <charset val="1"/>
    </font>
    <font>
      <b val="true"/>
      <sz val="11"/>
      <name val="Segoe UI"/>
      <family val="0"/>
      <charset val="1"/>
    </font>
    <font>
      <b val="true"/>
      <sz val="8"/>
      <color rgb="FFFFFFFF"/>
      <name val="Segoe UI"/>
      <family val="0"/>
      <charset val="1"/>
    </font>
    <font>
      <b val="true"/>
      <sz val="16"/>
      <color rgb="FF0F2A4A"/>
      <name val="Segoe UI"/>
      <family val="0"/>
      <charset val="1"/>
    </font>
    <font>
      <b val="true"/>
      <sz val="11"/>
      <color rgb="FF0F2A4A"/>
      <name val="Segoe UI"/>
      <family val="0"/>
      <charset val="1"/>
    </font>
    <font>
      <sz val="9"/>
      <name val="Segoe UI"/>
      <family val="0"/>
      <charset val="1"/>
    </font>
    <font>
      <b val="true"/>
      <sz val="9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3CD"/>
        <bgColor rgb="FFFDECC8"/>
      </patternFill>
    </fill>
    <fill>
      <patternFill patternType="solid">
        <fgColor rgb="FF0F2A4A"/>
        <bgColor rgb="FF003300"/>
      </patternFill>
    </fill>
    <fill>
      <patternFill patternType="solid">
        <fgColor rgb="FF2E75B6"/>
        <bgColor rgb="FF4672A8"/>
      </patternFill>
    </fill>
    <fill>
      <patternFill patternType="solid">
        <fgColor rgb="FF3FA96A"/>
        <bgColor rgb="FF4299B0"/>
      </patternFill>
    </fill>
    <fill>
      <patternFill patternType="solid">
        <fgColor rgb="FFE8A33D"/>
        <bgColor rgb="FFDC853E"/>
      </patternFill>
    </fill>
    <fill>
      <patternFill patternType="solid">
        <fgColor rgb="FF20B2AA"/>
        <bgColor rgb="FF4299B0"/>
      </patternFill>
    </fill>
    <fill>
      <patternFill patternType="solid">
        <fgColor rgb="FFD9534F"/>
        <bgColor rgb="FFAB4744"/>
      </patternFill>
    </fill>
    <fill>
      <patternFill patternType="solid">
        <fgColor rgb="FFF2F6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ont>
        <b val="1"/>
        <color rgb="FF1E6B34"/>
      </font>
      <fill>
        <patternFill>
          <bgColor rgb="FFC6E8CE"/>
        </patternFill>
      </fill>
    </dxf>
    <dxf>
      <font>
        <b val="1"/>
        <color rgb="FFA32E2E"/>
      </font>
      <fill>
        <patternFill>
          <bgColor rgb="FFF8D0CE"/>
        </patternFill>
      </fill>
    </dxf>
    <dxf>
      <font>
        <b val="1"/>
        <color rgb="FF8A6116"/>
      </font>
      <fill>
        <patternFill>
          <bgColor rgb="FFFDECC8"/>
        </patternFill>
      </fill>
    </dxf>
    <dxf>
      <font>
        <b val="1"/>
        <color rgb="FF1F4E78"/>
      </font>
      <fill>
        <patternFill>
          <bgColor rgb="FFDCEA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8A6116"/>
      <rgbColor rgb="FF800080"/>
      <rgbColor rgb="FF4299B0"/>
      <rgbColor rgb="FFD9DEE4"/>
      <rgbColor rgb="FF878787"/>
      <rgbColor rgb="FF93A9CE"/>
      <rgbColor rgb="FFAB4744"/>
      <rgbColor rgb="FFFFF3CD"/>
      <rgbColor rgb="FFDCEAFB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6FA"/>
      <rgbColor rgb="FFC6E8CE"/>
      <rgbColor rgb="FFFDECC8"/>
      <rgbColor rgb="FFF9F9F9"/>
      <rgbColor rgb="FFFF99CC"/>
      <rgbColor rgb="FFCC99FF"/>
      <rgbColor rgb="FFF8D0CE"/>
      <rgbColor rgb="FF2E75B6"/>
      <rgbColor rgb="FF20B2AA"/>
      <rgbColor rgb="FF99CC00"/>
      <rgbColor rgb="FFFFCC00"/>
      <rgbColor rgb="FFE8A33D"/>
      <rgbColor rgb="FFD9534F"/>
      <rgbColor rgb="FF725990"/>
      <rgbColor rgb="FF8AA64F"/>
      <rgbColor rgb="FF0F2A4A"/>
      <rgbColor rgb="FF3FA96A"/>
      <rgbColor rgb="FF003300"/>
      <rgbColor rgb="FF333300"/>
      <rgbColor rgb="FFA32E2E"/>
      <rgbColor rgb="FF666666"/>
      <rgbColor rgb="FF1F4E78"/>
      <rgbColor rgb="FF6B728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Dashboard!$B$11:$B$17</c:f>
              <c:strCache>
                <c:ptCount val="7"/>
                <c:pt idx="0">
                  <c:v>New</c:v>
                </c:pt>
                <c:pt idx="1">
                  <c:v>Contacted</c:v>
                </c:pt>
                <c:pt idx="2">
                  <c:v>Follow-up</c:v>
                </c:pt>
                <c:pt idx="3">
                  <c:v>Interested</c:v>
                </c:pt>
                <c:pt idx="4">
                  <c:v>Converted</c:v>
                </c:pt>
                <c:pt idx="5">
                  <c:v>Not Interested</c:v>
                </c:pt>
                <c:pt idx="6">
                  <c:v>Lost</c:v>
                </c:pt>
              </c:strCache>
            </c:strRef>
          </c:cat>
          <c:val>
            <c:numRef>
              <c:f>Dashboard!$C$11:$C$17</c:f>
              <c:numCache>
                <c:formatCode>General</c:formatCode>
                <c:ptCount val="7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Dashboard!$E$11:$E$14</c:f>
              <c:strCache>
                <c:ptCount val="4"/>
                <c:pt idx="0">
                  <c:v>Pakistan</c:v>
                </c:pt>
                <c:pt idx="1">
                  <c:v>Saudi Arabia</c:v>
                </c:pt>
                <c:pt idx="2">
                  <c:v>UAE</c:v>
                </c:pt>
                <c:pt idx="3">
                  <c:v>UK</c:v>
                </c:pt>
              </c:strCache>
            </c:strRef>
          </c:cat>
          <c:val>
            <c:numRef>
              <c:f>Dashboard!$F$11:$F$14</c:f>
              <c:numCache>
                <c:formatCode>General</c:formatCode>
                <c:ptCount val="4"/>
                <c:pt idx="0">
                  <c:v>23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15940058"/>
        <c:axId val="2931786"/>
      </c:barChart>
      <c:catAx>
        <c:axId val="15940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1786"/>
        <c:crosses val="autoZero"/>
        <c:auto val="1"/>
        <c:lblAlgn val="ctr"/>
        <c:lblOffset val="100"/>
        <c:noMultiLvlLbl val="0"/>
      </c:catAx>
      <c:valAx>
        <c:axId val="2931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400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Dashboard!$H$11:$H$15</c:f>
              <c:strCache>
                <c:ptCount val="5"/>
                <c:pt idx="0">
                  <c:v>Facebook Ads</c:v>
                </c:pt>
                <c:pt idx="1">
                  <c:v>Instagram Ads</c:v>
                </c:pt>
                <c:pt idx="2">
                  <c:v>WhatsApp</c:v>
                </c:pt>
                <c:pt idx="3">
                  <c:v>Referral</c:v>
                </c:pt>
                <c:pt idx="4">
                  <c:v>Other</c:v>
                </c:pt>
              </c:strCache>
            </c:strRef>
          </c:cat>
          <c:val>
            <c:numRef>
              <c:f>Dashboard!$I$11:$I$15</c:f>
              <c:numCache>
                <c:formatCode>General</c:formatCode>
                <c:ptCount val="5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3954413"/>
        <c:axId val="27874882"/>
      </c:barChart>
      <c:catAx>
        <c:axId val="3395441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74882"/>
        <c:crosses val="autoZero"/>
        <c:auto val="1"/>
        <c:lblAlgn val="ctr"/>
        <c:lblOffset val="100"/>
        <c:noMultiLvlLbl val="0"/>
      </c:catAx>
      <c:valAx>
        <c:axId val="278748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544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Referrals by Team Member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'Team Referrals'!$B$6:$B$10</c:f>
              <c:strCache>
                <c:ptCount val="5"/>
                <c:pt idx="0">
                  <c:v>Faheem</c:v>
                </c:pt>
                <c:pt idx="1">
                  <c:v>Usman</c:v>
                </c:pt>
                <c:pt idx="2">
                  <c:v>Ahmad Abbas</c:v>
                </c:pt>
                <c:pt idx="3">
                  <c:v>Abdul Mannan Bhatti</c:v>
                </c:pt>
                <c:pt idx="4">
                  <c:v>Me / [Your Name]</c:v>
                </c:pt>
              </c:strCache>
            </c:strRef>
          </c:cat>
          <c:val>
            <c:numRef>
              <c:f>'Team Referrals'!$C$6:$C$10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5782667"/>
        <c:axId val="89123162"/>
      </c:barChart>
      <c:catAx>
        <c:axId val="25782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23162"/>
        <c:crosses val="autoZero"/>
        <c:auto val="1"/>
        <c:lblAlgn val="ctr"/>
        <c:lblOffset val="100"/>
        <c:noMultiLvlLbl val="0"/>
      </c:catAx>
      <c:valAx>
        <c:axId val="89123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826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5</xdr:col>
      <xdr:colOff>511920</xdr:colOff>
      <xdr:row>34</xdr:row>
      <xdr:rowOff>21960</xdr:rowOff>
    </xdr:to>
    <xdr:graphicFrame>
      <xdr:nvGraphicFramePr>
        <xdr:cNvPr id="0" name="Chart 1"/>
        <xdr:cNvGraphicFramePr/>
      </xdr:nvGraphicFramePr>
      <xdr:xfrm>
        <a:off x="176400" y="41148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9</xdr:col>
      <xdr:colOff>512280</xdr:colOff>
      <xdr:row>34</xdr:row>
      <xdr:rowOff>21960</xdr:rowOff>
    </xdr:to>
    <xdr:graphicFrame>
      <xdr:nvGraphicFramePr>
        <xdr:cNvPr id="1" name="Chart 2"/>
        <xdr:cNvGraphicFramePr/>
      </xdr:nvGraphicFramePr>
      <xdr:xfrm>
        <a:off x="3984120" y="41148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5</xdr:col>
      <xdr:colOff>511920</xdr:colOff>
      <xdr:row>49</xdr:row>
      <xdr:rowOff>15120</xdr:rowOff>
    </xdr:to>
    <xdr:graphicFrame>
      <xdr:nvGraphicFramePr>
        <xdr:cNvPr id="2" name="Chart 3"/>
        <xdr:cNvGraphicFramePr/>
      </xdr:nvGraphicFramePr>
      <xdr:xfrm>
        <a:off x="176400" y="71629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6</xdr:col>
      <xdr:colOff>1641240</xdr:colOff>
      <xdr:row>17</xdr:row>
      <xdr:rowOff>43200</xdr:rowOff>
    </xdr:to>
    <xdr:graphicFrame>
      <xdr:nvGraphicFramePr>
        <xdr:cNvPr id="3" name="Chart 1"/>
        <xdr:cNvGraphicFramePr/>
      </xdr:nvGraphicFramePr>
      <xdr:xfrm>
        <a:off x="3066480" y="9334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eadsTable" displayName="LeadsTable" ref="A1:I35" headerRowCount="1" totalsRowCount="0" totalsRowShown="0">
  <autoFilter ref="A1:I35"/>
  <tableColumns count="9">
    <tableColumn id="1" name="ID"/>
    <tableColumn id="2" name="Name"/>
    <tableColumn id="3" name="Phone Number"/>
    <tableColumn id="4" name="Country"/>
    <tableColumn id="5" name="Month"/>
    <tableColumn id="6" name="Lead Source"/>
    <tableColumn id="7" name="Status"/>
    <tableColumn id="8" name="Priority"/>
    <tableColumn id="9" name="Notes"/>
  </tableColumns>
</table>
</file>

<file path=xl/tables/table2.xml><?xml version="1.0" encoding="utf-8"?>
<table xmlns="http://schemas.openxmlformats.org/spreadsheetml/2006/main" id="2" name="ReferralTable" displayName="ReferralTable" ref="B14:J44" headerRowCount="1" totalsRowCount="0" totalsRowShown="0">
  <autoFilter ref="B14:J44"/>
  <tableColumns count="9">
    <tableColumn id="1" name="Ref #"/>
    <tableColumn id="2" name="Date Referred"/>
    <tableColumn id="3" name="Referred To (Team Member)"/>
    <tableColumn id="4" name="Client Name"/>
    <tableColumn id="5" name="Client Phone Number"/>
    <tableColumn id="6" name="Client Requirement / Details"/>
    <tableColumn id="7" name="Status"/>
    <tableColumn id="8" name="Last Update Date"/>
    <tableColumn id="9" name="Update / Notes from Memb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n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2" t="s">
        <v>14</v>
      </c>
      <c r="H2" s="2"/>
      <c r="I2" s="1"/>
    </row>
    <row r="3" customFormat="false" ht="15" hidden="false" customHeight="false" outlineLevel="0" collapsed="false">
      <c r="A3" s="1" t="n">
        <v>2</v>
      </c>
      <c r="B3" s="1" t="s">
        <v>15</v>
      </c>
      <c r="C3" s="1" t="s">
        <v>16</v>
      </c>
      <c r="D3" s="1" t="s">
        <v>11</v>
      </c>
      <c r="E3" s="1" t="s">
        <v>12</v>
      </c>
      <c r="F3" s="2" t="s">
        <v>13</v>
      </c>
      <c r="G3" s="2" t="s">
        <v>14</v>
      </c>
      <c r="H3" s="2"/>
      <c r="I3" s="1"/>
    </row>
    <row r="4" customFormat="false" ht="15" hidden="false" customHeight="false" outlineLevel="0" collapsed="false">
      <c r="A4" s="1" t="n">
        <v>3</v>
      </c>
      <c r="B4" s="1" t="s">
        <v>17</v>
      </c>
      <c r="C4" s="1" t="s">
        <v>18</v>
      </c>
      <c r="D4" s="1" t="s">
        <v>11</v>
      </c>
      <c r="E4" s="1" t="s">
        <v>12</v>
      </c>
      <c r="F4" s="2" t="s">
        <v>13</v>
      </c>
      <c r="G4" s="2" t="s">
        <v>14</v>
      </c>
      <c r="H4" s="2"/>
      <c r="I4" s="1"/>
    </row>
    <row r="5" customFormat="false" ht="15" hidden="false" customHeight="false" outlineLevel="0" collapsed="false">
      <c r="A5" s="1" t="n">
        <v>4</v>
      </c>
      <c r="B5" s="1" t="s">
        <v>19</v>
      </c>
      <c r="C5" s="1" t="s">
        <v>20</v>
      </c>
      <c r="D5" s="1" t="s">
        <v>11</v>
      </c>
      <c r="E5" s="1" t="s">
        <v>12</v>
      </c>
      <c r="F5" s="2" t="s">
        <v>13</v>
      </c>
      <c r="G5" s="2" t="s">
        <v>14</v>
      </c>
      <c r="H5" s="2"/>
      <c r="I5" s="1"/>
    </row>
    <row r="6" customFormat="false" ht="15" hidden="false" customHeight="false" outlineLevel="0" collapsed="false">
      <c r="A6" s="1" t="n">
        <v>5</v>
      </c>
      <c r="B6" s="1" t="s">
        <v>21</v>
      </c>
      <c r="C6" s="1" t="s">
        <v>22</v>
      </c>
      <c r="D6" s="1" t="s">
        <v>23</v>
      </c>
      <c r="E6" s="1" t="s">
        <v>12</v>
      </c>
      <c r="F6" s="2" t="s">
        <v>13</v>
      </c>
      <c r="G6" s="2" t="s">
        <v>14</v>
      </c>
      <c r="H6" s="2"/>
      <c r="I6" s="1"/>
    </row>
    <row r="7" customFormat="false" ht="15" hidden="false" customHeight="false" outlineLevel="0" collapsed="false">
      <c r="A7" s="1" t="n">
        <v>6</v>
      </c>
      <c r="B7" s="1" t="s">
        <v>24</v>
      </c>
      <c r="C7" s="1" t="s">
        <v>25</v>
      </c>
      <c r="D7" s="1" t="s">
        <v>11</v>
      </c>
      <c r="E7" s="1" t="s">
        <v>12</v>
      </c>
      <c r="F7" s="2" t="s">
        <v>13</v>
      </c>
      <c r="G7" s="2" t="s">
        <v>14</v>
      </c>
      <c r="H7" s="2"/>
      <c r="I7" s="1"/>
    </row>
    <row r="8" customFormat="false" ht="15" hidden="false" customHeight="false" outlineLevel="0" collapsed="false">
      <c r="A8" s="1" t="n">
        <v>7</v>
      </c>
      <c r="B8" s="1" t="s">
        <v>19</v>
      </c>
      <c r="C8" s="1" t="s">
        <v>26</v>
      </c>
      <c r="D8" s="1" t="s">
        <v>11</v>
      </c>
      <c r="E8" s="1" t="s">
        <v>12</v>
      </c>
      <c r="F8" s="2" t="s">
        <v>13</v>
      </c>
      <c r="G8" s="2" t="s">
        <v>14</v>
      </c>
      <c r="H8" s="2"/>
      <c r="I8" s="1"/>
    </row>
    <row r="9" customFormat="false" ht="15" hidden="false" customHeight="false" outlineLevel="0" collapsed="false">
      <c r="A9" s="1" t="n">
        <v>8</v>
      </c>
      <c r="B9" s="1" t="s">
        <v>27</v>
      </c>
      <c r="C9" s="1" t="s">
        <v>28</v>
      </c>
      <c r="D9" s="1" t="s">
        <v>11</v>
      </c>
      <c r="E9" s="1" t="s">
        <v>12</v>
      </c>
      <c r="F9" s="2" t="s">
        <v>13</v>
      </c>
      <c r="G9" s="2" t="s">
        <v>14</v>
      </c>
      <c r="H9" s="2"/>
      <c r="I9" s="1"/>
    </row>
    <row r="10" customFormat="false" ht="15" hidden="false" customHeight="false" outlineLevel="0" collapsed="false">
      <c r="A10" s="1" t="n">
        <v>9</v>
      </c>
      <c r="B10" s="1" t="s">
        <v>29</v>
      </c>
      <c r="C10" s="1" t="s">
        <v>30</v>
      </c>
      <c r="D10" s="1" t="s">
        <v>11</v>
      </c>
      <c r="E10" s="1" t="s">
        <v>12</v>
      </c>
      <c r="F10" s="2" t="s">
        <v>13</v>
      </c>
      <c r="G10" s="2" t="s">
        <v>14</v>
      </c>
      <c r="H10" s="2"/>
      <c r="I10" s="1"/>
    </row>
    <row r="11" customFormat="false" ht="15" hidden="false" customHeight="false" outlineLevel="0" collapsed="false">
      <c r="A11" s="1" t="n">
        <v>10</v>
      </c>
      <c r="B11" s="1" t="s">
        <v>31</v>
      </c>
      <c r="C11" s="1" t="s">
        <v>32</v>
      </c>
      <c r="D11" s="1" t="s">
        <v>33</v>
      </c>
      <c r="E11" s="1" t="s">
        <v>12</v>
      </c>
      <c r="F11" s="2" t="s">
        <v>13</v>
      </c>
      <c r="G11" s="2" t="s">
        <v>14</v>
      </c>
      <c r="H11" s="2"/>
      <c r="I11" s="1"/>
    </row>
    <row r="12" customFormat="false" ht="15" hidden="false" customHeight="false" outlineLevel="0" collapsed="false">
      <c r="A12" s="1" t="n">
        <v>11</v>
      </c>
      <c r="B12" s="1" t="s">
        <v>34</v>
      </c>
      <c r="C12" s="1" t="s">
        <v>35</v>
      </c>
      <c r="D12" s="1" t="s">
        <v>11</v>
      </c>
      <c r="E12" s="1" t="s">
        <v>12</v>
      </c>
      <c r="F12" s="2" t="s">
        <v>13</v>
      </c>
      <c r="G12" s="2" t="s">
        <v>14</v>
      </c>
      <c r="H12" s="2"/>
      <c r="I12" s="1"/>
    </row>
    <row r="13" customFormat="false" ht="15" hidden="false" customHeight="false" outlineLevel="0" collapsed="false">
      <c r="A13" s="1" t="n">
        <v>12</v>
      </c>
      <c r="B13" s="1" t="s">
        <v>36</v>
      </c>
      <c r="C13" s="1" t="s">
        <v>37</v>
      </c>
      <c r="D13" s="1" t="s">
        <v>11</v>
      </c>
      <c r="E13" s="1" t="s">
        <v>12</v>
      </c>
      <c r="F13" s="2" t="s">
        <v>13</v>
      </c>
      <c r="G13" s="2" t="s">
        <v>14</v>
      </c>
      <c r="H13" s="2"/>
      <c r="I13" s="1"/>
    </row>
    <row r="14" customFormat="false" ht="15" hidden="false" customHeight="false" outlineLevel="0" collapsed="false">
      <c r="A14" s="1" t="n">
        <v>13</v>
      </c>
      <c r="B14" s="1" t="s">
        <v>19</v>
      </c>
      <c r="C14" s="1" t="s">
        <v>38</v>
      </c>
      <c r="D14" s="1" t="s">
        <v>33</v>
      </c>
      <c r="E14" s="1" t="s">
        <v>12</v>
      </c>
      <c r="F14" s="2" t="s">
        <v>13</v>
      </c>
      <c r="G14" s="2" t="s">
        <v>14</v>
      </c>
      <c r="H14" s="2"/>
      <c r="I14" s="1"/>
    </row>
    <row r="15" customFormat="false" ht="15" hidden="false" customHeight="false" outlineLevel="0" collapsed="false">
      <c r="A15" s="1" t="n">
        <v>14</v>
      </c>
      <c r="B15" s="1" t="s">
        <v>39</v>
      </c>
      <c r="C15" s="1" t="s">
        <v>40</v>
      </c>
      <c r="D15" s="1" t="s">
        <v>11</v>
      </c>
      <c r="E15" s="1" t="s">
        <v>12</v>
      </c>
      <c r="F15" s="2" t="s">
        <v>13</v>
      </c>
      <c r="G15" s="2" t="s">
        <v>14</v>
      </c>
      <c r="H15" s="2"/>
      <c r="I15" s="1"/>
    </row>
    <row r="16" customFormat="false" ht="15" hidden="false" customHeight="false" outlineLevel="0" collapsed="false">
      <c r="A16" s="1" t="n">
        <v>15</v>
      </c>
      <c r="B16" s="1" t="s">
        <v>41</v>
      </c>
      <c r="C16" s="1" t="s">
        <v>42</v>
      </c>
      <c r="D16" s="1" t="s">
        <v>11</v>
      </c>
      <c r="E16" s="1" t="s">
        <v>12</v>
      </c>
      <c r="F16" s="2" t="s">
        <v>13</v>
      </c>
      <c r="G16" s="2" t="s">
        <v>14</v>
      </c>
      <c r="H16" s="2"/>
      <c r="I16" s="1"/>
    </row>
    <row r="17" customFormat="false" ht="15" hidden="false" customHeight="false" outlineLevel="0" collapsed="false">
      <c r="A17" s="1" t="n">
        <v>16</v>
      </c>
      <c r="B17" s="1" t="s">
        <v>43</v>
      </c>
      <c r="C17" s="1" t="s">
        <v>44</v>
      </c>
      <c r="D17" s="1" t="s">
        <v>11</v>
      </c>
      <c r="E17" s="1" t="s">
        <v>12</v>
      </c>
      <c r="F17" s="2" t="s">
        <v>13</v>
      </c>
      <c r="G17" s="2" t="s">
        <v>14</v>
      </c>
      <c r="H17" s="2"/>
      <c r="I17" s="1"/>
    </row>
    <row r="18" customFormat="false" ht="15" hidden="false" customHeight="false" outlineLevel="0" collapsed="false">
      <c r="A18" s="1" t="n">
        <v>17</v>
      </c>
      <c r="B18" s="1" t="s">
        <v>45</v>
      </c>
      <c r="C18" s="1" t="s">
        <v>46</v>
      </c>
      <c r="D18" s="1" t="s">
        <v>11</v>
      </c>
      <c r="E18" s="1" t="s">
        <v>12</v>
      </c>
      <c r="F18" s="2" t="s">
        <v>13</v>
      </c>
      <c r="G18" s="2" t="s">
        <v>14</v>
      </c>
      <c r="H18" s="2"/>
      <c r="I18" s="1"/>
    </row>
    <row r="19" customFormat="false" ht="15" hidden="false" customHeight="false" outlineLevel="0" collapsed="false">
      <c r="A19" s="1" t="n">
        <v>18</v>
      </c>
      <c r="B19" s="1" t="s">
        <v>47</v>
      </c>
      <c r="C19" s="1" t="s">
        <v>48</v>
      </c>
      <c r="D19" s="1" t="s">
        <v>11</v>
      </c>
      <c r="E19" s="1" t="s">
        <v>12</v>
      </c>
      <c r="F19" s="2" t="s">
        <v>13</v>
      </c>
      <c r="G19" s="2" t="s">
        <v>14</v>
      </c>
      <c r="H19" s="2"/>
      <c r="I19" s="1"/>
    </row>
    <row r="20" customFormat="false" ht="15" hidden="false" customHeight="false" outlineLevel="0" collapsed="false">
      <c r="A20" s="1" t="n">
        <v>19</v>
      </c>
      <c r="B20" s="1" t="s">
        <v>49</v>
      </c>
      <c r="C20" s="1" t="s">
        <v>50</v>
      </c>
      <c r="D20" s="1" t="s">
        <v>11</v>
      </c>
      <c r="E20" s="1" t="s">
        <v>12</v>
      </c>
      <c r="F20" s="2" t="s">
        <v>13</v>
      </c>
      <c r="G20" s="2" t="s">
        <v>14</v>
      </c>
      <c r="H20" s="2"/>
      <c r="I20" s="1"/>
    </row>
    <row r="21" customFormat="false" ht="15" hidden="false" customHeight="false" outlineLevel="0" collapsed="false">
      <c r="A21" s="1" t="n">
        <v>20</v>
      </c>
      <c r="B21" s="1" t="s">
        <v>51</v>
      </c>
      <c r="C21" s="1" t="s">
        <v>52</v>
      </c>
      <c r="D21" s="1" t="s">
        <v>11</v>
      </c>
      <c r="E21" s="1" t="s">
        <v>12</v>
      </c>
      <c r="F21" s="2" t="s">
        <v>13</v>
      </c>
      <c r="G21" s="2" t="s">
        <v>14</v>
      </c>
      <c r="H21" s="2"/>
      <c r="I21" s="1"/>
    </row>
    <row r="22" customFormat="false" ht="15" hidden="false" customHeight="false" outlineLevel="0" collapsed="false">
      <c r="A22" s="1" t="n">
        <v>21</v>
      </c>
      <c r="B22" s="1" t="s">
        <v>53</v>
      </c>
      <c r="C22" s="1" t="s">
        <v>54</v>
      </c>
      <c r="D22" s="1" t="s">
        <v>23</v>
      </c>
      <c r="E22" s="1" t="s">
        <v>12</v>
      </c>
      <c r="F22" s="2" t="s">
        <v>13</v>
      </c>
      <c r="G22" s="2" t="s">
        <v>14</v>
      </c>
      <c r="H22" s="2"/>
      <c r="I22" s="1"/>
    </row>
    <row r="23" customFormat="false" ht="15" hidden="false" customHeight="false" outlineLevel="0" collapsed="false">
      <c r="A23" s="1" t="n">
        <v>22</v>
      </c>
      <c r="B23" s="1" t="s">
        <v>55</v>
      </c>
      <c r="C23" s="1" t="s">
        <v>56</v>
      </c>
      <c r="D23" s="1" t="s">
        <v>23</v>
      </c>
      <c r="E23" s="1" t="s">
        <v>12</v>
      </c>
      <c r="F23" s="2" t="s">
        <v>13</v>
      </c>
      <c r="G23" s="2" t="s">
        <v>14</v>
      </c>
      <c r="H23" s="2"/>
      <c r="I23" s="1"/>
    </row>
    <row r="24" customFormat="false" ht="15" hidden="false" customHeight="false" outlineLevel="0" collapsed="false">
      <c r="A24" s="1" t="n">
        <v>23</v>
      </c>
      <c r="B24" s="1" t="s">
        <v>57</v>
      </c>
      <c r="C24" s="1" t="s">
        <v>58</v>
      </c>
      <c r="D24" s="1" t="s">
        <v>23</v>
      </c>
      <c r="E24" s="1" t="s">
        <v>12</v>
      </c>
      <c r="F24" s="2" t="s">
        <v>13</v>
      </c>
      <c r="G24" s="2" t="s">
        <v>14</v>
      </c>
      <c r="H24" s="2"/>
      <c r="I24" s="1"/>
    </row>
    <row r="25" customFormat="false" ht="15" hidden="false" customHeight="false" outlineLevel="0" collapsed="false">
      <c r="A25" s="1" t="n">
        <v>24</v>
      </c>
      <c r="B25" s="1" t="s">
        <v>59</v>
      </c>
      <c r="C25" s="1" t="s">
        <v>60</v>
      </c>
      <c r="D25" s="1" t="s">
        <v>11</v>
      </c>
      <c r="E25" s="1" t="s">
        <v>12</v>
      </c>
      <c r="F25" s="2" t="s">
        <v>13</v>
      </c>
      <c r="G25" s="2" t="s">
        <v>14</v>
      </c>
      <c r="H25" s="2"/>
      <c r="I25" s="1"/>
    </row>
    <row r="26" customFormat="false" ht="15" hidden="false" customHeight="false" outlineLevel="0" collapsed="false">
      <c r="A26" s="1" t="n">
        <v>25</v>
      </c>
      <c r="B26" s="1" t="s">
        <v>61</v>
      </c>
      <c r="C26" s="1" t="s">
        <v>62</v>
      </c>
      <c r="D26" s="1" t="s">
        <v>11</v>
      </c>
      <c r="E26" s="1" t="s">
        <v>12</v>
      </c>
      <c r="F26" s="2" t="s">
        <v>13</v>
      </c>
      <c r="G26" s="2" t="s">
        <v>14</v>
      </c>
      <c r="H26" s="2"/>
      <c r="I26" s="1"/>
    </row>
    <row r="27" customFormat="false" ht="15" hidden="false" customHeight="false" outlineLevel="0" collapsed="false">
      <c r="A27" s="1" t="n">
        <v>26</v>
      </c>
      <c r="B27" s="1" t="s">
        <v>63</v>
      </c>
      <c r="C27" s="1" t="s">
        <v>64</v>
      </c>
      <c r="D27" s="1" t="s">
        <v>65</v>
      </c>
      <c r="E27" s="1" t="s">
        <v>12</v>
      </c>
      <c r="F27" s="2" t="s">
        <v>13</v>
      </c>
      <c r="G27" s="2" t="s">
        <v>14</v>
      </c>
      <c r="H27" s="2"/>
      <c r="I27" s="1"/>
    </row>
    <row r="28" customFormat="false" ht="15" hidden="false" customHeight="false" outlineLevel="0" collapsed="false">
      <c r="A28" s="1" t="n">
        <v>27</v>
      </c>
      <c r="B28" s="1" t="s">
        <v>66</v>
      </c>
      <c r="C28" s="1" t="s">
        <v>67</v>
      </c>
      <c r="D28" s="1" t="s">
        <v>11</v>
      </c>
      <c r="E28" s="1" t="s">
        <v>12</v>
      </c>
      <c r="F28" s="2" t="s">
        <v>13</v>
      </c>
      <c r="G28" s="2" t="s">
        <v>14</v>
      </c>
      <c r="H28" s="2"/>
      <c r="I28" s="1"/>
    </row>
    <row r="29" customFormat="false" ht="15" hidden="false" customHeight="false" outlineLevel="0" collapsed="false">
      <c r="A29" s="1" t="n">
        <v>28</v>
      </c>
      <c r="B29" s="1" t="s">
        <v>19</v>
      </c>
      <c r="C29" s="1" t="s">
        <v>68</v>
      </c>
      <c r="D29" s="1" t="s">
        <v>11</v>
      </c>
      <c r="E29" s="1" t="s">
        <v>12</v>
      </c>
      <c r="F29" s="2" t="s">
        <v>13</v>
      </c>
      <c r="G29" s="2" t="s">
        <v>14</v>
      </c>
      <c r="H29" s="2"/>
      <c r="I29" s="1"/>
    </row>
    <row r="30" customFormat="false" ht="15" hidden="false" customHeight="false" outlineLevel="0" collapsed="false">
      <c r="A30" s="1" t="n">
        <v>29</v>
      </c>
      <c r="B30" s="1" t="s">
        <v>69</v>
      </c>
      <c r="C30" s="1" t="s">
        <v>70</v>
      </c>
      <c r="D30" s="1" t="s">
        <v>23</v>
      </c>
      <c r="E30" s="1" t="s">
        <v>12</v>
      </c>
      <c r="F30" s="2" t="s">
        <v>13</v>
      </c>
      <c r="G30" s="2" t="s">
        <v>14</v>
      </c>
      <c r="H30" s="2"/>
      <c r="I30" s="1"/>
    </row>
    <row r="31" customFormat="false" ht="15" hidden="false" customHeight="false" outlineLevel="0" collapsed="false">
      <c r="A31" s="1" t="n">
        <v>30</v>
      </c>
      <c r="B31" s="1" t="s">
        <v>71</v>
      </c>
      <c r="C31" s="1" t="s">
        <v>72</v>
      </c>
      <c r="D31" s="1" t="s">
        <v>33</v>
      </c>
      <c r="E31" s="1" t="s">
        <v>12</v>
      </c>
      <c r="F31" s="2" t="s">
        <v>13</v>
      </c>
      <c r="G31" s="2" t="s">
        <v>14</v>
      </c>
      <c r="H31" s="2"/>
      <c r="I31" s="1"/>
    </row>
    <row r="32" customFormat="false" ht="15" hidden="false" customHeight="false" outlineLevel="0" collapsed="false">
      <c r="A32" s="1" t="n">
        <v>31</v>
      </c>
      <c r="B32" s="1" t="s">
        <v>73</v>
      </c>
      <c r="C32" s="1" t="s">
        <v>74</v>
      </c>
      <c r="D32" s="1" t="s">
        <v>11</v>
      </c>
      <c r="E32" s="1" t="s">
        <v>12</v>
      </c>
      <c r="F32" s="2" t="s">
        <v>13</v>
      </c>
      <c r="G32" s="2" t="s">
        <v>14</v>
      </c>
      <c r="H32" s="2"/>
      <c r="I32" s="1"/>
    </row>
    <row r="33" customFormat="false" ht="15" hidden="false" customHeight="false" outlineLevel="0" collapsed="false">
      <c r="A33" s="1" t="n">
        <v>32</v>
      </c>
      <c r="B33" s="1" t="s">
        <v>75</v>
      </c>
      <c r="C33" s="1" t="s">
        <v>76</v>
      </c>
      <c r="D33" s="1" t="s">
        <v>23</v>
      </c>
      <c r="E33" s="1" t="s">
        <v>12</v>
      </c>
      <c r="F33" s="2" t="s">
        <v>13</v>
      </c>
      <c r="G33" s="2" t="s">
        <v>14</v>
      </c>
      <c r="H33" s="2"/>
      <c r="I33" s="1"/>
    </row>
    <row r="34" customFormat="false" ht="15" hidden="false" customHeight="false" outlineLevel="0" collapsed="false">
      <c r="A34" s="1" t="n">
        <v>33</v>
      </c>
      <c r="B34" s="1" t="s">
        <v>19</v>
      </c>
      <c r="C34" s="1" t="s">
        <v>77</v>
      </c>
      <c r="D34" s="1" t="s">
        <v>11</v>
      </c>
      <c r="E34" s="1" t="s">
        <v>12</v>
      </c>
      <c r="F34" s="2" t="s">
        <v>13</v>
      </c>
      <c r="G34" s="2" t="s">
        <v>14</v>
      </c>
      <c r="H34" s="2"/>
      <c r="I34" s="1"/>
    </row>
    <row r="35" customFormat="false" ht="15" hidden="false" customHeight="false" outlineLevel="0" collapsed="false">
      <c r="A35" s="1" t="n">
        <v>34</v>
      </c>
      <c r="B35" s="1" t="s">
        <v>78</v>
      </c>
      <c r="C35" s="1" t="s">
        <v>79</v>
      </c>
      <c r="D35" s="1" t="s">
        <v>23</v>
      </c>
      <c r="E35" s="1" t="s">
        <v>12</v>
      </c>
      <c r="F35" s="2" t="s">
        <v>13</v>
      </c>
      <c r="G35" s="2" t="s">
        <v>14</v>
      </c>
      <c r="H35" s="2"/>
      <c r="I35" s="1"/>
    </row>
    <row r="38" customFormat="false" ht="15" hidden="false" customHeight="false" outlineLevel="0" collapsed="false">
      <c r="A38" s="3" t="s">
        <v>80</v>
      </c>
    </row>
    <row r="39" customFormat="false" ht="15" hidden="false" customHeight="false" outlineLevel="0" collapsed="false">
      <c r="A39" s="4" t="s">
        <v>81</v>
      </c>
      <c r="B39" s="5" t="s">
        <v>82</v>
      </c>
    </row>
    <row r="40" customFormat="false" ht="15" hidden="false" customHeight="false" outlineLevel="0" collapsed="false">
      <c r="A40" s="5" t="s">
        <v>83</v>
      </c>
    </row>
  </sheetData>
  <dataValidations count="3">
    <dataValidation allowBlank="true" errorStyle="stop" operator="between" showDropDown="false" showErrorMessage="false" showInputMessage="false" sqref="G2:G35" type="list">
      <formula1>"New,Contacted,Follow-up,Interested,Converted,Not Interested,Lost"</formula1>
      <formula2>0</formula2>
    </dataValidation>
    <dataValidation allowBlank="true" errorStyle="stop" operator="between" showDropDown="false" showErrorMessage="false" showInputMessage="false" sqref="F2:F35" type="list">
      <formula1>"Facebook Ads,Instagram Ads,WhatsApp,Referral,Other"</formula1>
      <formula2>0</formula2>
    </dataValidation>
    <dataValidation allowBlank="true" errorStyle="stop" operator="between" showDropDown="false" showErrorMessage="false" showInputMessage="false" sqref="H2:H35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10" min="2" style="0" width="13.5"/>
  </cols>
  <sheetData>
    <row r="1" customFormat="false" ht="21.75" hidden="false" customHeight="true" outlineLevel="0" collapsed="false">
      <c r="B1" s="6" t="s">
        <v>84</v>
      </c>
      <c r="C1" s="6"/>
      <c r="D1" s="6"/>
      <c r="E1" s="6"/>
      <c r="F1" s="6"/>
      <c r="G1" s="6"/>
      <c r="H1" s="6"/>
      <c r="I1" s="6"/>
      <c r="J1" s="6"/>
    </row>
    <row r="2" customFormat="false" ht="21.75" hidden="false" customHeight="true" outlineLevel="0" collapsed="false"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B3" s="7" t="s">
        <v>85</v>
      </c>
    </row>
    <row r="4" customFormat="false" ht="15" hidden="false" customHeight="false" outlineLevel="0" collapsed="false">
      <c r="H4" s="8" t="s">
        <v>86</v>
      </c>
      <c r="J4" s="9" t="s">
        <v>87</v>
      </c>
    </row>
    <row r="6" customFormat="false" ht="25.5" hidden="false" customHeight="true" outlineLevel="0" collapsed="false">
      <c r="B6" s="10" t="s">
        <v>88</v>
      </c>
      <c r="C6" s="11" t="s">
        <v>89</v>
      </c>
      <c r="D6" s="12" t="s">
        <v>90</v>
      </c>
      <c r="E6" s="13" t="s">
        <v>91</v>
      </c>
      <c r="F6" s="14" t="s">
        <v>92</v>
      </c>
    </row>
    <row r="7" customFormat="false" ht="30" hidden="false" customHeight="true" outlineLevel="0" collapsed="false">
      <c r="B7" s="15" t="n">
        <f aca="false">IF($J$4="All",COUNTA(Data!$B$2:$B$35),COUNTIF(Data!$D$2:$D$35,$J$4))</f>
        <v>34</v>
      </c>
      <c r="C7" s="15" t="n">
        <f aca="false">IF($J$4="All",COUNTIF(Data!$G$2:$G$35,"Converted"),COUNTIFS(Data!$G$2:$G$35,"Converted",Data!$D$2:$D$35,$J$4))</f>
        <v>0</v>
      </c>
      <c r="D7" s="15" t="n">
        <f aca="false">IF($J$4="All",COUNTIFS(Data!$G$2:$G$35,"&lt;&gt;Converted",Data!$G$2:$G$35,"&lt;&gt;Not Interested",Data!$G$2:$G$35,"&lt;&gt;Lost",Data!$G$2:$G$35,"&lt;&gt;"),COUNTIFS(Data!$G$2:$G$35,"&lt;&gt;Converted",Data!$G$2:$G$35,"&lt;&gt;Not Interested",Data!$G$2:$G$35,"&lt;&gt;Lost",Data!$G$2:$G$35,"&lt;&gt;",Data!$D$2:$D$35,$J$4))</f>
        <v>34</v>
      </c>
      <c r="E7" s="16" t="n">
        <f aca="false">IFERROR(J7/H7,0)</f>
        <v>0</v>
      </c>
      <c r="F7" s="17" t="str">
        <f aca="false">INDEX(Data!$D$2:$D$35,MATCH(MAX(COUNTIF(Data!$D$2:$D$35,Data!$D$2:$D$35)),COUNTIF(Data!$D$2:$D$35,Data!$D$2:$D$35),0))</f>
        <v>Pakistan</v>
      </c>
    </row>
    <row r="10" customFormat="false" ht="15" hidden="false" customHeight="false" outlineLevel="0" collapsed="false">
      <c r="B10" s="18" t="s">
        <v>93</v>
      </c>
      <c r="E10" s="18" t="s">
        <v>94</v>
      </c>
      <c r="H10" s="18" t="s">
        <v>95</v>
      </c>
    </row>
    <row r="11" customFormat="false" ht="15" hidden="false" customHeight="false" outlineLevel="0" collapsed="false">
      <c r="B11" s="19" t="s">
        <v>14</v>
      </c>
      <c r="C11" s="19" t="n">
        <f aca="false">IF($J$4="All",COUNTIF(Data!$G$2:$G$35,B11),COUNTIFS(Data!$G$2:$G$35,B11,Data!$D$2:$D$35,$J$4))</f>
        <v>34</v>
      </c>
      <c r="E11" s="19" t="s">
        <v>11</v>
      </c>
      <c r="F11" s="20" t="n">
        <f aca="false">COUNTIF(Data!$D$2:$D$35,E11)</f>
        <v>23</v>
      </c>
      <c r="H11" s="19" t="s">
        <v>13</v>
      </c>
      <c r="I11" s="20" t="n">
        <f aca="false">COUNTIF(Data!$F$2:$F$35,H11)</f>
        <v>34</v>
      </c>
    </row>
    <row r="12" customFormat="false" ht="15" hidden="false" customHeight="false" outlineLevel="0" collapsed="false">
      <c r="B12" s="19" t="s">
        <v>96</v>
      </c>
      <c r="C12" s="19" t="n">
        <f aca="false">IF($J$4="All",COUNTIF(Data!$G$2:$G$35,B12),COUNTIFS(Data!$G$2:$G$35,B12,Data!$D$2:$D$35,$J$4))</f>
        <v>0</v>
      </c>
      <c r="E12" s="19" t="s">
        <v>23</v>
      </c>
      <c r="F12" s="20" t="n">
        <f aca="false">COUNTIF(Data!$D$2:$D$35,E12)</f>
        <v>7</v>
      </c>
      <c r="H12" s="19" t="s">
        <v>97</v>
      </c>
      <c r="I12" s="20" t="n">
        <f aca="false">COUNTIF(Data!$F$2:$F$35,H12)</f>
        <v>0</v>
      </c>
    </row>
    <row r="13" customFormat="false" ht="15" hidden="false" customHeight="false" outlineLevel="0" collapsed="false">
      <c r="B13" s="19" t="s">
        <v>98</v>
      </c>
      <c r="C13" s="19" t="n">
        <f aca="false">IF($J$4="All",COUNTIF(Data!$G$2:$G$35,B13),COUNTIFS(Data!$G$2:$G$35,B13,Data!$D$2:$D$35,$J$4))</f>
        <v>0</v>
      </c>
      <c r="E13" s="19" t="s">
        <v>33</v>
      </c>
      <c r="F13" s="20" t="n">
        <f aca="false">COUNTIF(Data!$D$2:$D$35,E13)</f>
        <v>3</v>
      </c>
      <c r="H13" s="19" t="s">
        <v>99</v>
      </c>
      <c r="I13" s="20" t="n">
        <f aca="false">COUNTIF(Data!$F$2:$F$35,H13)</f>
        <v>0</v>
      </c>
    </row>
    <row r="14" customFormat="false" ht="15" hidden="false" customHeight="false" outlineLevel="0" collapsed="false">
      <c r="B14" s="19" t="s">
        <v>100</v>
      </c>
      <c r="C14" s="19" t="n">
        <f aca="false">IF($J$4="All",COUNTIF(Data!$G$2:$G$35,B14),COUNTIFS(Data!$G$2:$G$35,B14,Data!$D$2:$D$35,$J$4))</f>
        <v>0</v>
      </c>
      <c r="E14" s="19" t="s">
        <v>65</v>
      </c>
      <c r="F14" s="20" t="n">
        <f aca="false">COUNTIF(Data!$D$2:$D$35,E14)</f>
        <v>1</v>
      </c>
      <c r="H14" s="19" t="s">
        <v>101</v>
      </c>
      <c r="I14" s="20" t="n">
        <f aca="false">COUNTIF(Data!$F$2:$F$35,H14)</f>
        <v>0</v>
      </c>
    </row>
    <row r="15" customFormat="false" ht="15" hidden="false" customHeight="false" outlineLevel="0" collapsed="false">
      <c r="B15" s="19" t="s">
        <v>102</v>
      </c>
      <c r="C15" s="19" t="n">
        <f aca="false">IF($J$4="All",COUNTIF(Data!$G$2:$G$35,B15),COUNTIFS(Data!$G$2:$G$35,B15,Data!$D$2:$D$35,$J$4))</f>
        <v>0</v>
      </c>
      <c r="H15" s="19" t="s">
        <v>103</v>
      </c>
      <c r="I15" s="20" t="n">
        <f aca="false">COUNTIF(Data!$F$2:$F$35,H15)</f>
        <v>0</v>
      </c>
    </row>
    <row r="16" customFormat="false" ht="15" hidden="false" customHeight="false" outlineLevel="0" collapsed="false">
      <c r="B16" s="19" t="s">
        <v>104</v>
      </c>
      <c r="C16" s="19" t="n">
        <f aca="false">IF($J$4="All",COUNTIF(Data!$G$2:$G$35,B16),COUNTIFS(Data!$G$2:$G$35,B16,Data!$D$2:$D$35,$J$4))</f>
        <v>0</v>
      </c>
    </row>
    <row r="17" customFormat="false" ht="15" hidden="false" customHeight="false" outlineLevel="0" collapsed="false">
      <c r="B17" s="19" t="s">
        <v>105</v>
      </c>
      <c r="C17" s="19" t="n">
        <f aca="false">IF($J$4="All",COUNTIF(Data!$G$2:$G$35,B17),COUNTIFS(Data!$G$2:$G$35,B17,Data!$D$2:$D$35,$J$4))</f>
        <v>0</v>
      </c>
    </row>
    <row r="36" customFormat="false" ht="15" hidden="false" customHeight="false" outlineLevel="0" collapsed="false">
      <c r="F36" s="18" t="s">
        <v>106</v>
      </c>
    </row>
    <row r="37" customFormat="false" ht="30.55" hidden="false" customHeight="false" outlineLevel="0" collapsed="false">
      <c r="F37" s="21" t="s">
        <v>3</v>
      </c>
      <c r="G37" s="22" t="s">
        <v>14</v>
      </c>
      <c r="H37" s="22" t="s">
        <v>96</v>
      </c>
      <c r="I37" s="22" t="s">
        <v>98</v>
      </c>
      <c r="J37" s="22" t="s">
        <v>100</v>
      </c>
      <c r="K37" s="22" t="s">
        <v>102</v>
      </c>
      <c r="L37" s="22" t="s">
        <v>104</v>
      </c>
      <c r="M37" s="22" t="s">
        <v>105</v>
      </c>
    </row>
    <row r="38" customFormat="false" ht="15" hidden="false" customHeight="false" outlineLevel="0" collapsed="false">
      <c r="F38" s="21" t="s">
        <v>11</v>
      </c>
      <c r="G38" s="23" t="n">
        <f aca="false">COUNTIFS(Data!$D$2:$D$35,$F38,Data!$G$2:$G$35,G$37)</f>
        <v>23</v>
      </c>
      <c r="H38" s="23" t="n">
        <f aca="false">COUNTIFS(Data!$D$2:$D$35,$F38,Data!$G$2:$G$35,H$37)</f>
        <v>0</v>
      </c>
      <c r="I38" s="23" t="n">
        <f aca="false">COUNTIFS(Data!$D$2:$D$35,$F38,Data!$G$2:$G$35,I$37)</f>
        <v>0</v>
      </c>
      <c r="J38" s="23" t="n">
        <f aca="false">COUNTIFS(Data!$D$2:$D$35,$F38,Data!$G$2:$G$35,J$37)</f>
        <v>0</v>
      </c>
      <c r="K38" s="23" t="n">
        <f aca="false">COUNTIFS(Data!$D$2:$D$35,$F38,Data!$G$2:$G$35,K$37)</f>
        <v>0</v>
      </c>
      <c r="L38" s="23" t="n">
        <f aca="false">COUNTIFS(Data!$D$2:$D$35,$F38,Data!$G$2:$G$35,L$37)</f>
        <v>0</v>
      </c>
      <c r="M38" s="23" t="n">
        <f aca="false">COUNTIFS(Data!$D$2:$D$35,$F38,Data!$G$2:$G$35,M$37)</f>
        <v>0</v>
      </c>
    </row>
    <row r="39" customFormat="false" ht="15" hidden="false" customHeight="false" outlineLevel="0" collapsed="false">
      <c r="F39" s="21" t="s">
        <v>23</v>
      </c>
      <c r="G39" s="23" t="n">
        <f aca="false">COUNTIFS(Data!$D$2:$D$35,$F39,Data!$G$2:$G$35,G$37)</f>
        <v>7</v>
      </c>
      <c r="H39" s="23" t="n">
        <f aca="false">COUNTIFS(Data!$D$2:$D$35,$F39,Data!$G$2:$G$35,H$37)</f>
        <v>0</v>
      </c>
      <c r="I39" s="23" t="n">
        <f aca="false">COUNTIFS(Data!$D$2:$D$35,$F39,Data!$G$2:$G$35,I$37)</f>
        <v>0</v>
      </c>
      <c r="J39" s="23" t="n">
        <f aca="false">COUNTIFS(Data!$D$2:$D$35,$F39,Data!$G$2:$G$35,J$37)</f>
        <v>0</v>
      </c>
      <c r="K39" s="23" t="n">
        <f aca="false">COUNTIFS(Data!$D$2:$D$35,$F39,Data!$G$2:$G$35,K$37)</f>
        <v>0</v>
      </c>
      <c r="L39" s="23" t="n">
        <f aca="false">COUNTIFS(Data!$D$2:$D$35,$F39,Data!$G$2:$G$35,L$37)</f>
        <v>0</v>
      </c>
      <c r="M39" s="23" t="n">
        <f aca="false">COUNTIFS(Data!$D$2:$D$35,$F39,Data!$G$2:$G$35,M$37)</f>
        <v>0</v>
      </c>
    </row>
    <row r="40" customFormat="false" ht="15" hidden="false" customHeight="false" outlineLevel="0" collapsed="false">
      <c r="F40" s="21" t="s">
        <v>33</v>
      </c>
      <c r="G40" s="23" t="n">
        <f aca="false">COUNTIFS(Data!$D$2:$D$35,$F40,Data!$G$2:$G$35,G$37)</f>
        <v>3</v>
      </c>
      <c r="H40" s="23" t="n">
        <f aca="false">COUNTIFS(Data!$D$2:$D$35,$F40,Data!$G$2:$G$35,H$37)</f>
        <v>0</v>
      </c>
      <c r="I40" s="23" t="n">
        <f aca="false">COUNTIFS(Data!$D$2:$D$35,$F40,Data!$G$2:$G$35,I$37)</f>
        <v>0</v>
      </c>
      <c r="J40" s="23" t="n">
        <f aca="false">COUNTIFS(Data!$D$2:$D$35,$F40,Data!$G$2:$G$35,J$37)</f>
        <v>0</v>
      </c>
      <c r="K40" s="23" t="n">
        <f aca="false">COUNTIFS(Data!$D$2:$D$35,$F40,Data!$G$2:$G$35,K$37)</f>
        <v>0</v>
      </c>
      <c r="L40" s="23" t="n">
        <f aca="false">COUNTIFS(Data!$D$2:$D$35,$F40,Data!$G$2:$G$35,L$37)</f>
        <v>0</v>
      </c>
      <c r="M40" s="23" t="n">
        <f aca="false">COUNTIFS(Data!$D$2:$D$35,$F40,Data!$G$2:$G$35,M$37)</f>
        <v>0</v>
      </c>
    </row>
    <row r="41" customFormat="false" ht="15" hidden="false" customHeight="false" outlineLevel="0" collapsed="false">
      <c r="F41" s="21" t="s">
        <v>65</v>
      </c>
      <c r="G41" s="23" t="n">
        <f aca="false">COUNTIFS(Data!$D$2:$D$35,$F41,Data!$G$2:$G$35,G$37)</f>
        <v>1</v>
      </c>
      <c r="H41" s="23" t="n">
        <f aca="false">COUNTIFS(Data!$D$2:$D$35,$F41,Data!$G$2:$G$35,H$37)</f>
        <v>0</v>
      </c>
      <c r="I41" s="23" t="n">
        <f aca="false">COUNTIFS(Data!$D$2:$D$35,$F41,Data!$G$2:$G$35,I$37)</f>
        <v>0</v>
      </c>
      <c r="J41" s="23" t="n">
        <f aca="false">COUNTIFS(Data!$D$2:$D$35,$F41,Data!$G$2:$G$35,J$37)</f>
        <v>0</v>
      </c>
      <c r="K41" s="23" t="n">
        <f aca="false">COUNTIFS(Data!$D$2:$D$35,$F41,Data!$G$2:$G$35,K$37)</f>
        <v>0</v>
      </c>
      <c r="L41" s="23" t="n">
        <f aca="false">COUNTIFS(Data!$D$2:$D$35,$F41,Data!$G$2:$G$35,L$37)</f>
        <v>0</v>
      </c>
      <c r="M41" s="23" t="n">
        <f aca="false">COUNTIFS(Data!$D$2:$D$35,$F41,Data!$G$2:$G$35,M$37)</f>
        <v>0</v>
      </c>
    </row>
  </sheetData>
  <mergeCells count="1">
    <mergeCell ref="B1:J2"/>
  </mergeCells>
  <conditionalFormatting sqref="G38:M41">
    <cfRule type="colorScale" priority="2">
      <colorScale>
        <cfvo type="min" val="0"/>
        <cfvo type="max" val="0"/>
        <color rgb="FFF2F6FA"/>
        <color rgb="FF2E75B6"/>
      </colorScale>
    </cfRule>
  </conditionalFormatting>
  <conditionalFormatting sqref="I11:I15">
    <cfRule type="dataBar" priority="3">
      <dataBar showValue="1" minLength="10" maxLength="90">
        <cfvo type="min" val="0"/>
        <cfvo type="max" val="0"/>
        <color rgb="FF20B2AA"/>
      </dataBar>
      <extLst>
        <ext xmlns:x14="http://schemas.microsoft.com/office/spreadsheetml/2009/9/main" uri="{B025F937-C7B1-47D3-B67F-A62EFF666E3E}">
          <x14:id>{E366C1B5-153A-40E5-AAC5-3BB01428F81A}</x14:id>
        </ext>
      </extLst>
    </cfRule>
  </conditionalFormatting>
  <conditionalFormatting sqref="F11:F14">
    <cfRule type="dataBar" priority="4">
      <dataBar showValue="1" minLength="10" maxLength="90">
        <cfvo type="min" val="0"/>
        <cfvo type="max" val="0"/>
        <color rgb="FF20B2AA"/>
      </dataBar>
      <extLst>
        <ext xmlns:x14="http://schemas.microsoft.com/office/spreadsheetml/2009/9/main" uri="{B025F937-C7B1-47D3-B67F-A62EFF666E3E}">
          <x14:id>{E569E875-F544-4214-84B4-4E96551D718F}</x14:id>
        </ext>
      </extLst>
    </cfRule>
  </conditionalFormatting>
  <dataValidations count="1">
    <dataValidation allowBlank="false" errorStyle="stop" operator="between" showDropDown="false" showErrorMessage="false" showInputMessage="false" sqref="J4" type="list">
      <formula1>"All,Pakistan,Saudi Arabia,UAE,UK"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66C1B5-153A-40E5-AAC5-3BB01428F81A}">
            <x14:dataBar minLength="10" maxLength="90" axisPosition="none" gradient="true">
              <x14:cfvo type="min"/>
              <x14:cfvo type="max"/>
              <x14:negativeFillColor rgb="FF20B2AA"/>
              <x14:axisColor rgb="FF000000"/>
            </x14:dataBar>
          </x14:cfRule>
          <xm:sqref>I11:I15</xm:sqref>
        </x14:conditionalFormatting>
        <x14:conditionalFormatting xmlns:xm="http://schemas.microsoft.com/office/excel/2006/main">
          <x14:cfRule type="dataBar" id="{E569E875-F544-4214-84B4-4E96551D718F}">
            <x14:dataBar minLength="10" maxLength="90" axisPosition="none" gradient="true">
              <x14:cfvo type="min"/>
              <x14:cfvo type="max"/>
              <x14:negativeFillColor rgb="FF20B2AA"/>
              <x14:axisColor rgb="FF000000"/>
            </x14:dataBar>
          </x14:cfRule>
          <xm:sqref>F11:F14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21.75" hidden="false" customHeight="true" outlineLevel="0" collapsed="false">
      <c r="B1" s="6" t="s">
        <v>107</v>
      </c>
      <c r="C1" s="6"/>
      <c r="D1" s="6"/>
      <c r="E1" s="6"/>
      <c r="F1" s="6"/>
      <c r="G1" s="6"/>
      <c r="H1" s="6"/>
      <c r="I1" s="6"/>
      <c r="J1" s="6"/>
    </row>
    <row r="2" customFormat="false" ht="21.75" hidden="false" customHeight="true" outlineLevel="0" collapsed="false"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B3" s="7" t="s">
        <v>108</v>
      </c>
    </row>
    <row r="5" customFormat="false" ht="15" hidden="false" customHeight="false" outlineLevel="0" collapsed="false">
      <c r="B5" s="18" t="s">
        <v>109</v>
      </c>
    </row>
    <row r="6" customFormat="false" ht="15" hidden="false" customHeight="false" outlineLevel="0" collapsed="false">
      <c r="B6" s="19" t="s">
        <v>110</v>
      </c>
      <c r="C6" s="20" t="n">
        <f aca="false">COUNTIF($D$15:$D$44,B6)</f>
        <v>0</v>
      </c>
    </row>
    <row r="7" customFormat="false" ht="15" hidden="false" customHeight="false" outlineLevel="0" collapsed="false">
      <c r="B7" s="19" t="s">
        <v>111</v>
      </c>
      <c r="C7" s="20" t="n">
        <f aca="false">COUNTIF($D$15:$D$44,B7)</f>
        <v>0</v>
      </c>
    </row>
    <row r="8" customFormat="false" ht="15" hidden="false" customHeight="false" outlineLevel="0" collapsed="false">
      <c r="B8" s="19" t="s">
        <v>112</v>
      </c>
      <c r="C8" s="20" t="n">
        <f aca="false">COUNTIF($D$15:$D$44,B8)</f>
        <v>0</v>
      </c>
    </row>
    <row r="9" customFormat="false" ht="15" hidden="false" customHeight="false" outlineLevel="0" collapsed="false">
      <c r="B9" s="19" t="s">
        <v>113</v>
      </c>
      <c r="C9" s="20" t="n">
        <f aca="false">COUNTIF($D$15:$D$44,B9)</f>
        <v>0</v>
      </c>
    </row>
    <row r="10" customFormat="false" ht="15" hidden="false" customHeight="false" outlineLevel="0" collapsed="false">
      <c r="B10" s="19" t="s">
        <v>114</v>
      </c>
      <c r="C10" s="20" t="n">
        <f aca="false">COUNTIF($D$15:$D$44,B10)</f>
        <v>0</v>
      </c>
    </row>
    <row r="14" customFormat="false" ht="15" hidden="false" customHeight="false" outlineLevel="0" collapsed="false"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6</v>
      </c>
      <c r="I14" s="1" t="s">
        <v>121</v>
      </c>
      <c r="J14" s="1" t="s">
        <v>122</v>
      </c>
    </row>
    <row r="15" customFormat="false" ht="15" hidden="false" customHeight="false" outlineLevel="0" collapsed="false">
      <c r="B15" s="1" t="n">
        <v>1</v>
      </c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B16" s="1" t="n">
        <v>2</v>
      </c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B17" s="1" t="n">
        <v>3</v>
      </c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B18" s="1" t="n">
        <v>4</v>
      </c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B19" s="1" t="n">
        <v>5</v>
      </c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B20" s="1" t="n">
        <v>6</v>
      </c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B21" s="1" t="n">
        <v>7</v>
      </c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B22" s="1" t="n">
        <v>8</v>
      </c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B23" s="1" t="n">
        <v>9</v>
      </c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B24" s="1" t="n">
        <v>10</v>
      </c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B25" s="1" t="n">
        <v>11</v>
      </c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B26" s="1" t="n">
        <v>12</v>
      </c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B27" s="1" t="n">
        <v>13</v>
      </c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B28" s="1" t="n">
        <v>14</v>
      </c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B29" s="1" t="n">
        <v>15</v>
      </c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B30" s="1" t="n">
        <v>16</v>
      </c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B31" s="1" t="n">
        <v>17</v>
      </c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B32" s="1" t="n">
        <v>18</v>
      </c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B33" s="1" t="n">
        <v>19</v>
      </c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B34" s="1" t="n">
        <v>20</v>
      </c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B35" s="1" t="n">
        <v>21</v>
      </c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B36" s="1" t="n">
        <v>22</v>
      </c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B37" s="1" t="n">
        <v>23</v>
      </c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B38" s="1" t="n">
        <v>24</v>
      </c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B39" s="1" t="n">
        <v>25</v>
      </c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B40" s="1" t="n">
        <v>26</v>
      </c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B41" s="1" t="n">
        <v>27</v>
      </c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B42" s="1" t="n">
        <v>28</v>
      </c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B43" s="1" t="n">
        <v>29</v>
      </c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B44" s="1" t="n">
        <v>30</v>
      </c>
      <c r="C44" s="1"/>
      <c r="D44" s="1"/>
      <c r="E44" s="1"/>
      <c r="F44" s="1"/>
      <c r="G44" s="1"/>
      <c r="H44" s="1"/>
      <c r="I44" s="1"/>
      <c r="J44" s="1"/>
    </row>
    <row r="47" customFormat="false" ht="15" hidden="false" customHeight="false" outlineLevel="0" collapsed="false">
      <c r="B47" s="8" t="s">
        <v>123</v>
      </c>
    </row>
    <row r="48" customFormat="false" ht="15" hidden="false" customHeight="false" outlineLevel="0" collapsed="false">
      <c r="B48" s="5" t="s">
        <v>124</v>
      </c>
    </row>
    <row r="49" customFormat="false" ht="15" hidden="false" customHeight="false" outlineLevel="0" collapsed="false">
      <c r="B49" s="5" t="s">
        <v>125</v>
      </c>
    </row>
    <row r="50" customFormat="false" ht="15" hidden="false" customHeight="false" outlineLevel="0" collapsed="false">
      <c r="B50" s="5" t="s">
        <v>126</v>
      </c>
    </row>
    <row r="51" customFormat="false" ht="15" hidden="false" customHeight="false" outlineLevel="0" collapsed="false">
      <c r="B51" s="5" t="s">
        <v>127</v>
      </c>
    </row>
  </sheetData>
  <mergeCells count="1">
    <mergeCell ref="B1:J2"/>
  </mergeCells>
  <conditionalFormatting sqref="C6:C10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{B081689E-EAE0-4DE4-A2D0-6FAEA5E435D8}</x14:id>
        </ext>
      </extLst>
    </cfRule>
  </conditionalFormatting>
  <conditionalFormatting sqref="H15:H44">
    <cfRule type="cellIs" priority="3" operator="equal" aboveAverage="0" equalAverage="0" bottom="0" percent="0" rank="0" text="" dxfId="2">
      <formula>"Closed - Won"</formula>
    </cfRule>
    <cfRule type="cellIs" priority="4" operator="equal" aboveAverage="0" equalAverage="0" bottom="0" percent="0" rank="0" text="" dxfId="3">
      <formula>"Closed - Lost"</formula>
    </cfRule>
    <cfRule type="cellIs" priority="5" operator="equal" aboveAverage="0" equalAverage="0" bottom="0" percent="0" rank="0" text="" dxfId="4">
      <formula>"In Progress"</formula>
    </cfRule>
    <cfRule type="cellIs" priority="6" operator="equal" aboveAverage="0" equalAverage="0" bottom="0" percent="0" rank="0" text="" dxfId="5">
      <formula>"New"</formula>
    </cfRule>
  </conditionalFormatting>
  <dataValidations count="2">
    <dataValidation allowBlank="true" errorStyle="stop" operator="between" showDropDown="false" showErrorMessage="false" showInputMessage="false" sqref="D15:D44" type="list">
      <formula1>"Faheem,Usman,Ahmad Abbas,Abdul Mannan Bhatti,Me / [Your Name]"</formula1>
      <formula2>0</formula2>
    </dataValidation>
    <dataValidation allowBlank="true" errorStyle="stop" operator="between" showDropDown="false" showErrorMessage="false" showInputMessage="false" sqref="H15:H44" type="list">
      <formula1>"New,Contacted,In Progress,Closed - Won,Closed - 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81689E-EAE0-4DE4-A2D0-6FAEA5E435D8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C6:C10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2026-08-31T15:08:09Z</dcterms:created>
  <dc:creator>openpyxl</dc:creator>
  <dc:description/>
  <dc:language>en-US</dc:language>
  <cp:lastModifiedBy/>
  <dcterms:modified xsi:type="dcterms:W3CDTF">2026-08-31T15:08:12Z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